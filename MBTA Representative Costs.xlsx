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de2408519f2ebea/Desktop/MIT City Science/Transport Project/"/>
    </mc:Choice>
  </mc:AlternateContent>
  <xr:revisionPtr revIDLastSave="598" documentId="11_F25DC773A252ABDACC104856295E56205BDE58E9" xr6:coauthVersionLast="47" xr6:coauthVersionMax="47" xr10:uidLastSave="{6C8482BE-9295-4E97-AC05-F3009159A6FF}"/>
  <bookViews>
    <workbookView xWindow="38280" yWindow="1095" windowWidth="29040" windowHeight="17520" xr2:uid="{00000000-000D-0000-FFFF-FFFF00000000}"/>
  </bookViews>
  <sheets>
    <sheet name="Sheet1" sheetId="2" r:id="rId1"/>
    <sheet name="Messy data" sheetId="1" r:id="rId2"/>
    <sheet name="Inflation Inde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M4" i="1"/>
  <c r="M6" i="1"/>
  <c r="M7" i="1"/>
  <c r="N7" i="1"/>
  <c r="E6" i="2"/>
  <c r="E4" i="2"/>
  <c r="E3" i="2"/>
  <c r="D7" i="2"/>
  <c r="D5" i="2" s="1"/>
  <c r="C7" i="2"/>
  <c r="D6" i="2"/>
  <c r="C5" i="2"/>
  <c r="D4" i="2"/>
  <c r="E9" i="1"/>
  <c r="E7" i="1"/>
  <c r="C4" i="2" s="1"/>
  <c r="E6" i="1"/>
  <c r="E3" i="1"/>
  <c r="C2" i="2" s="1"/>
  <c r="E2" i="1"/>
  <c r="D22" i="3"/>
  <c r="C22" i="3"/>
  <c r="D21" i="3"/>
  <c r="C21" i="3"/>
  <c r="C20" i="3"/>
  <c r="D20" i="3" s="1"/>
  <c r="C19" i="3"/>
  <c r="D19" i="3" s="1"/>
  <c r="C18" i="3"/>
  <c r="D18" i="3" s="1"/>
  <c r="C17" i="3"/>
  <c r="D17" i="3" s="1"/>
  <c r="C16" i="3"/>
  <c r="D16" i="3" s="1"/>
  <c r="C15" i="3"/>
  <c r="D15" i="3" s="1"/>
  <c r="C14" i="3"/>
  <c r="D14" i="3" s="1"/>
  <c r="C13" i="3"/>
  <c r="D13" i="3" s="1"/>
  <c r="D12" i="3"/>
  <c r="C12" i="3"/>
  <c r="C11" i="3"/>
  <c r="D11" i="3" s="1"/>
  <c r="C10" i="3"/>
  <c r="D10" i="3" s="1"/>
  <c r="C9" i="3"/>
  <c r="D9" i="3" s="1"/>
  <c r="C8" i="3"/>
  <c r="D8" i="3" s="1"/>
  <c r="C7" i="3"/>
  <c r="D7" i="3" s="1"/>
  <c r="D6" i="3"/>
  <c r="C6" i="3"/>
  <c r="M10" i="1"/>
  <c r="E7" i="2" s="1"/>
  <c r="H9" i="1"/>
  <c r="C6" i="2" s="1"/>
  <c r="N9" i="1"/>
  <c r="K6" i="1"/>
  <c r="H6" i="1" s="1"/>
  <c r="C3" i="2" s="1"/>
  <c r="P7" i="1"/>
  <c r="N3" i="1"/>
  <c r="M8" i="1"/>
  <c r="E5" i="2" s="1"/>
  <c r="K7" i="1"/>
  <c r="P3" i="1"/>
  <c r="N2" i="1"/>
  <c r="K3" i="1"/>
  <c r="D2" i="2" s="1"/>
  <c r="D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tc={64261330-17E0-4295-B7B5-4A5829725415}</author>
  </authors>
  <commentList>
    <comment ref="M6" authorId="0" shapeId="0" xr:uid="{64261330-17E0-4295-B7B5-4A5829725415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10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 Jiang</author>
  </authors>
  <commentList>
    <comment ref="B6" authorId="0" shapeId="0" xr:uid="{214C2125-5BEE-484F-A751-70D864B404A7}">
      <text>
        <r>
          <rPr>
            <b/>
            <sz val="9"/>
            <color indexed="81"/>
            <rFont val="Tahoma"/>
            <family val="2"/>
          </rPr>
          <t>Ryan Jiang:</t>
        </r>
        <r>
          <rPr>
            <sz val="9"/>
            <color indexed="81"/>
            <rFont val="Tahoma"/>
            <family val="2"/>
          </rPr>
          <t xml:space="preserve">
Source: U.S. Bureau of Labor Statistics via Federal Reserve Bank of Minneapolis, https://www.minneapolisfed.org/about-us/monetary-policy/inflation-calculator/consumer-price-index-1913-</t>
        </r>
      </text>
    </comment>
    <comment ref="B7" authorId="0" shapeId="0" xr:uid="{DA92C0EE-6E8C-4E51-ADEE-65B69DF734C0}">
      <text>
        <r>
          <rPr>
            <b/>
            <sz val="9"/>
            <color indexed="81"/>
            <rFont val="Tahoma"/>
            <family val="2"/>
          </rPr>
          <t>Ryan Jiang:</t>
        </r>
        <r>
          <rPr>
            <sz val="9"/>
            <color indexed="81"/>
            <rFont val="Tahoma"/>
            <family val="2"/>
          </rPr>
          <t xml:space="preserve">
Source: U.S. Bureau of Labor Statistics via Federal Reserve Bank of Minneapolis, https://www.minneapolisfed.org/about-us/monetary-policy/inflation-calculator/consumer-price-index-1913-</t>
        </r>
      </text>
    </comment>
    <comment ref="B8" authorId="0" shapeId="0" xr:uid="{5E7B4DF0-D6B5-4A18-BDA6-BC25887DC2E3}">
      <text>
        <r>
          <rPr>
            <b/>
            <sz val="9"/>
            <color indexed="81"/>
            <rFont val="Tahoma"/>
            <family val="2"/>
          </rPr>
          <t>Ryan Jiang:</t>
        </r>
        <r>
          <rPr>
            <sz val="9"/>
            <color indexed="81"/>
            <rFont val="Tahoma"/>
            <family val="2"/>
          </rPr>
          <t xml:space="preserve">
Source: U.S. Bureau of Labor Statistics via Federal Reserve Bank of Minneapolis, https://www.minneapolisfed.org/about-us/monetary-policy/inflation-calculator/consumer-price-index-1913-</t>
        </r>
      </text>
    </comment>
    <comment ref="B9" authorId="0" shapeId="0" xr:uid="{14F87AAE-9256-415E-845D-9E0E79D4A443}">
      <text>
        <r>
          <rPr>
            <b/>
            <sz val="9"/>
            <color indexed="81"/>
            <rFont val="Tahoma"/>
            <family val="2"/>
          </rPr>
          <t>Ryan Jiang:</t>
        </r>
        <r>
          <rPr>
            <sz val="9"/>
            <color indexed="81"/>
            <rFont val="Tahoma"/>
            <family val="2"/>
          </rPr>
          <t xml:space="preserve">
Source: U.S. Bureau of Labor Statistics via Federal Reserve Bank of Minneapolis, https://www.minneapolisfed.org/about-us/monetary-policy/inflation-calculator/consumer-price-index-1913-</t>
        </r>
      </text>
    </comment>
    <comment ref="B10" authorId="0" shapeId="0" xr:uid="{1047D2E0-A3F0-45FF-84C4-4EA398BAB8F9}">
      <text>
        <r>
          <rPr>
            <b/>
            <sz val="9"/>
            <color indexed="81"/>
            <rFont val="Tahoma"/>
            <family val="2"/>
          </rPr>
          <t>Ryan Jiang:</t>
        </r>
        <r>
          <rPr>
            <sz val="9"/>
            <color indexed="81"/>
            <rFont val="Tahoma"/>
            <family val="2"/>
          </rPr>
          <t xml:space="preserve">
Source: U.S. Bureau of Labor Statistics via Federal Reserve Bank of Minneapolis, https://www.minneapolisfed.org/about-us/monetary-policy/inflation-calculator/consumer-price-index-1913-</t>
        </r>
      </text>
    </comment>
    <comment ref="B11" authorId="0" shapeId="0" xr:uid="{D3E928F2-3299-48F5-A8FF-6A84DEFF456C}">
      <text>
        <r>
          <rPr>
            <b/>
            <sz val="9"/>
            <color indexed="81"/>
            <rFont val="Tahoma"/>
            <family val="2"/>
          </rPr>
          <t>Ryan Jiang:</t>
        </r>
        <r>
          <rPr>
            <sz val="9"/>
            <color indexed="81"/>
            <rFont val="Tahoma"/>
            <family val="2"/>
          </rPr>
          <t xml:space="preserve">
Source: U.S. Bureau of Labor Statistics via Federal Reserve Bank of Minneapolis, https://www.minneapolisfed.org/about-us/monetary-policy/inflation-calculator/consumer-price-index-1913-</t>
        </r>
      </text>
    </comment>
    <comment ref="B12" authorId="0" shapeId="0" xr:uid="{BEE0FBDE-E6F9-43EB-9604-4E711F467F1A}">
      <text>
        <r>
          <rPr>
            <b/>
            <sz val="9"/>
            <color indexed="81"/>
            <rFont val="Tahoma"/>
            <family val="2"/>
          </rPr>
          <t>Ryan Jiang:</t>
        </r>
        <r>
          <rPr>
            <sz val="9"/>
            <color indexed="81"/>
            <rFont val="Tahoma"/>
            <family val="2"/>
          </rPr>
          <t xml:space="preserve">
Source: U.S. Bureau of Labor Statistics via Federal Reserve Bank of Minneapolis, https://www.minneapolisfed.org/about-us/monetary-policy/inflation-calculator/consumer-price-index-1913-</t>
        </r>
      </text>
    </comment>
    <comment ref="B13" authorId="0" shapeId="0" xr:uid="{BE439728-479C-452C-9FC6-E8B858A6D59F}">
      <text>
        <r>
          <rPr>
            <b/>
            <sz val="9"/>
            <color indexed="81"/>
            <rFont val="Tahoma"/>
            <family val="2"/>
          </rPr>
          <t>Ryan Jiang:</t>
        </r>
        <r>
          <rPr>
            <sz val="9"/>
            <color indexed="81"/>
            <rFont val="Tahoma"/>
            <family val="2"/>
          </rPr>
          <t xml:space="preserve">
Source: U.S. Bureau of Labor Statistics via Federal Reserve Bank of Minneapolis, https://www.minneapolisfed.org/about-us/monetary-policy/inflation-calculator/consumer-price-index-1913-</t>
        </r>
      </text>
    </comment>
    <comment ref="B14" authorId="0" shapeId="0" xr:uid="{44A1638B-40BC-4C76-8B55-715E9C202054}">
      <text>
        <r>
          <rPr>
            <b/>
            <sz val="9"/>
            <color indexed="81"/>
            <rFont val="Tahoma"/>
            <family val="2"/>
          </rPr>
          <t>Ryan Jiang:</t>
        </r>
        <r>
          <rPr>
            <sz val="9"/>
            <color indexed="81"/>
            <rFont val="Tahoma"/>
            <family val="2"/>
          </rPr>
          <t xml:space="preserve">
Source: U.S. Bureau of Labor Statistics via Federal Reserve Bank of Minneapolis, https://www.minneapolisfed.org/about-us/monetary-policy/inflation-calculator/consumer-price-index-1913-</t>
        </r>
      </text>
    </comment>
    <comment ref="B15" authorId="0" shapeId="0" xr:uid="{46ADFDE3-08AA-4905-A901-84E2F82D65DC}">
      <text>
        <r>
          <rPr>
            <b/>
            <sz val="9"/>
            <color indexed="81"/>
            <rFont val="Tahoma"/>
            <family val="2"/>
          </rPr>
          <t>Ryan Jiang:</t>
        </r>
        <r>
          <rPr>
            <sz val="9"/>
            <color indexed="81"/>
            <rFont val="Tahoma"/>
            <family val="2"/>
          </rPr>
          <t xml:space="preserve">
Source: U.S. Bureau of Labor Statistics via Federal Reserve Bank of Minneapolis, https://www.minneapolisfed.org/about-us/monetary-policy/inflation-calculator/consumer-price-index-1913-</t>
        </r>
      </text>
    </comment>
    <comment ref="B16" authorId="0" shapeId="0" xr:uid="{14565AA9-9389-4CA4-AAE9-05AAB9DF19DE}">
      <text>
        <r>
          <rPr>
            <b/>
            <sz val="9"/>
            <color indexed="81"/>
            <rFont val="Tahoma"/>
            <family val="2"/>
          </rPr>
          <t>Ryan Jiang:</t>
        </r>
        <r>
          <rPr>
            <sz val="9"/>
            <color indexed="81"/>
            <rFont val="Tahoma"/>
            <family val="2"/>
          </rPr>
          <t xml:space="preserve">
Source: U.S. Bureau of Labor Statistics via Federal Reserve Bank of Minneapolis, https://www.minneapolisfed.org/about-us/monetary-policy/inflation-calculator/consumer-price-index-1913-</t>
        </r>
      </text>
    </comment>
    <comment ref="B17" authorId="0" shapeId="0" xr:uid="{9B991182-ECA0-46BC-899A-D37A1803CF07}">
      <text>
        <r>
          <rPr>
            <b/>
            <sz val="9"/>
            <color indexed="81"/>
            <rFont val="Tahoma"/>
            <family val="2"/>
          </rPr>
          <t>Ryan Jiang:</t>
        </r>
        <r>
          <rPr>
            <sz val="9"/>
            <color indexed="81"/>
            <rFont val="Tahoma"/>
            <family val="2"/>
          </rPr>
          <t xml:space="preserve">
Source: U.S. Bureau of Labor Statistics via Federal Reserve Bank of Minneapolis, https://www.minneapolisfed.org/about-us/monetary-policy/inflation-calculator/consumer-price-index-1913-</t>
        </r>
      </text>
    </comment>
    <comment ref="B18" authorId="0" shapeId="0" xr:uid="{970E3178-BEDD-4446-A815-CC3E612C9CE8}">
      <text>
        <r>
          <rPr>
            <b/>
            <sz val="9"/>
            <color indexed="81"/>
            <rFont val="Tahoma"/>
            <family val="2"/>
          </rPr>
          <t>Ryan Jiang:</t>
        </r>
        <r>
          <rPr>
            <sz val="9"/>
            <color indexed="81"/>
            <rFont val="Tahoma"/>
            <family val="2"/>
          </rPr>
          <t xml:space="preserve">
Source: U.S. Bureau of Labor Statistics via Federal Reserve Bank of Minneapolis, https://www.minneapolisfed.org/about-us/monetary-policy/inflation-calculator/consumer-price-index-1913-</t>
        </r>
      </text>
    </comment>
    <comment ref="B19" authorId="0" shapeId="0" xr:uid="{6E86A681-9383-4D66-8718-587ED9293165}">
      <text>
        <r>
          <rPr>
            <b/>
            <sz val="9"/>
            <color indexed="81"/>
            <rFont val="Tahoma"/>
            <family val="2"/>
          </rPr>
          <t>Ryan Jiang:</t>
        </r>
        <r>
          <rPr>
            <sz val="9"/>
            <color indexed="81"/>
            <rFont val="Tahoma"/>
            <family val="2"/>
          </rPr>
          <t xml:space="preserve">
Source: U.S. Bureau of Labor Statistics via Federal Reserve Bank of Minneapolis, https://www.minneapolisfed.org/about-us/monetary-policy/inflation-calculator/consumer-price-index-1913-</t>
        </r>
      </text>
    </comment>
    <comment ref="B20" authorId="0" shapeId="0" xr:uid="{83D9B174-B2EE-4DEB-A62B-A169C8C70D37}">
      <text>
        <r>
          <rPr>
            <b/>
            <sz val="9"/>
            <color indexed="81"/>
            <rFont val="Tahoma"/>
            <family val="2"/>
          </rPr>
          <t>Ryan Jiang:</t>
        </r>
        <r>
          <rPr>
            <sz val="9"/>
            <color indexed="81"/>
            <rFont val="Tahoma"/>
            <family val="2"/>
          </rPr>
          <t xml:space="preserve">
Source: U.S. Bureau of Labor Statistics via Federal Reserve Bank of Minneapolis, https://www.minneapolisfed.org/about-us/monetary-policy/inflation-calculator/consumer-price-index-1913-</t>
        </r>
      </text>
    </comment>
    <comment ref="B21" authorId="0" shapeId="0" xr:uid="{22F4EFC4-6E40-496B-A7F5-F3A01B257EC9}">
      <text>
        <r>
          <rPr>
            <b/>
            <sz val="9"/>
            <color indexed="81"/>
            <rFont val="Tahoma"/>
            <family val="2"/>
          </rPr>
          <t>Ryan Jiang:</t>
        </r>
        <r>
          <rPr>
            <sz val="9"/>
            <color indexed="81"/>
            <rFont val="Tahoma"/>
            <family val="2"/>
          </rPr>
          <t xml:space="preserve">
Source: U.S. Bureau of Labor Statistics via Federal Reserve Bank of Minneapolis, https://www.minneapolisfed.org/about-us/monetary-policy/inflation-calculator/consumer-price-index-1913-</t>
        </r>
      </text>
    </comment>
    <comment ref="B22" authorId="0" shapeId="0" xr:uid="{570027FA-764D-4C5A-8900-50FB13064BAE}">
      <text>
        <r>
          <rPr>
            <b/>
            <sz val="9"/>
            <color indexed="81"/>
            <rFont val="Tahoma"/>
            <family val="2"/>
          </rPr>
          <t>Ryan Jiang:</t>
        </r>
        <r>
          <rPr>
            <sz val="9"/>
            <color indexed="81"/>
            <rFont val="Tahoma"/>
            <family val="2"/>
          </rPr>
          <t xml:space="preserve">
Source: BLS CPI-U January 2026 release (317.942 NSA), scaled to annual average basis using 2025 ratio. BLS: https://www.bls.gov/news.release/cpi.nr0.htm</t>
        </r>
      </text>
    </comment>
  </commentList>
</comments>
</file>

<file path=xl/sharedStrings.xml><?xml version="1.0" encoding="utf-8"?>
<sst xmlns="http://schemas.openxmlformats.org/spreadsheetml/2006/main" count="118" uniqueCount="75">
  <si>
    <t>Category</t>
  </si>
  <si>
    <t>Heavy Rail</t>
  </si>
  <si>
    <t>BRT</t>
  </si>
  <si>
    <t>Light Rail (Surface/Elevated)</t>
  </si>
  <si>
    <t>MBTA Example</t>
  </si>
  <si>
    <t>Green Line branches, green line extension</t>
  </si>
  <si>
    <t>Silver Line (SL3, SL4)</t>
  </si>
  <si>
    <t>Cost per Mile</t>
  </si>
  <si>
    <t>Commuter Rail</t>
  </si>
  <si>
    <t>Light Rail (Tunnel)</t>
  </si>
  <si>
    <t>Distance</t>
  </si>
  <si>
    <t>Red Blue Connector</t>
  </si>
  <si>
    <t>Source</t>
  </si>
  <si>
    <t>Red Blue Connector (2023)</t>
  </si>
  <si>
    <t>Cost Tunnel</t>
  </si>
  <si>
    <t>270 million</t>
  </si>
  <si>
    <t>Cost Street Reconstruction</t>
  </si>
  <si>
    <t>20 million</t>
  </si>
  <si>
    <t>Cost Other</t>
  </si>
  <si>
    <t>Mohl (2021)</t>
  </si>
  <si>
    <t>Dollar Year</t>
  </si>
  <si>
    <t>Orange Line Relocation</t>
  </si>
  <si>
    <t>Project Year</t>
  </si>
  <si>
    <t>2022 (finish)</t>
  </si>
  <si>
    <t>1983 (midpoint)</t>
  </si>
  <si>
    <t>FTA cost database 2024</t>
  </si>
  <si>
    <t>???</t>
  </si>
  <si>
    <t>Cost Vehicle (each)</t>
  </si>
  <si>
    <t>Cost Station (each)</t>
  </si>
  <si>
    <t>Cost Professional Services</t>
  </si>
  <si>
    <t>Cost Total</t>
  </si>
  <si>
    <t>Professional Services as % of Construction Costs</t>
  </si>
  <si>
    <t>BRT (Underground)</t>
  </si>
  <si>
    <t>South Boston Piers Transitway</t>
  </si>
  <si>
    <t>FTA</t>
  </si>
  <si>
    <t>2001 (midpoint)</t>
  </si>
  <si>
    <t>Cost Land</t>
  </si>
  <si>
    <t>Taken from BRT underground</t>
  </si>
  <si>
    <t>N/A</t>
  </si>
  <si>
    <t>Roads?</t>
  </si>
  <si>
    <t>Take from Bus</t>
  </si>
  <si>
    <t>Back of the Envelope</t>
  </si>
  <si>
    <t>Green Line Extension</t>
  </si>
  <si>
    <t>Transit Costs Project (NYU Marron)</t>
  </si>
  <si>
    <t>2013-2022</t>
  </si>
  <si>
    <t>Transit Costs Project</t>
  </si>
  <si>
    <t>South Coast Rail DSEIR Full Report</t>
  </si>
  <si>
    <t>South Coast Rail</t>
  </si>
  <si>
    <t>Cost Construction (sans station)</t>
  </si>
  <si>
    <t>Bus</t>
  </si>
  <si>
    <t>MBTA Busses (Electric)</t>
  </si>
  <si>
    <t>South Coast Rail DSEIR Report</t>
  </si>
  <si>
    <t>Lisinski (2026), Mohl (2019)</t>
  </si>
  <si>
    <t>Cost/Station</t>
  </si>
  <si>
    <t>Cost/Vehicle</t>
  </si>
  <si>
    <t>Professional Services Cost</t>
  </si>
  <si>
    <t>Silver Line (South Boston Piers Transitway)</t>
  </si>
  <si>
    <t>Silver Line</t>
  </si>
  <si>
    <t>CPI-U Inflation Index: Value of $1 in 2026 Dollars</t>
  </si>
  <si>
    <t>Source: U.S. Bureau of Labor Statistics, CPI-U Annual Averages (1982-84=100)</t>
  </si>
  <si>
    <t>2026 CPI estimated using January 2026 BLS release (scaled to annual average basis)</t>
  </si>
  <si>
    <t>Year</t>
  </si>
  <si>
    <t>Annual Avg CPI-U</t>
  </si>
  <si>
    <t>Value of $1 in 2026 Dollars</t>
  </si>
  <si>
    <t>Cumulative Inflation since Year</t>
  </si>
  <si>
    <t>Distance (km)</t>
  </si>
  <si>
    <t>Unit</t>
  </si>
  <si>
    <t>Ft</t>
  </si>
  <si>
    <t>Km</t>
  </si>
  <si>
    <t>Mi</t>
  </si>
  <si>
    <t>Cost/km</t>
  </si>
  <si>
    <t>25% of Tracks + Station</t>
  </si>
  <si>
    <t>Didn't seem credible</t>
  </si>
  <si>
    <t>Red and Orange Line CRRC Contract</t>
  </si>
  <si>
    <t>Wang and Bao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</si>
</sst>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.0000"/>
    <numFmt numFmtId="166" formatCode="0.0%"/>
    <numFmt numFmtId="167" formatCode="&quot;$&quot;#,##0.00"/>
    <numFmt numFmtId="168" formatCode="&quot;$&quot;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6" fontId="0" fillId="0" borderId="0" xfId="0" applyNumberFormat="1"/>
    <xf numFmtId="3" fontId="0" fillId="0" borderId="0" xfId="0" applyNumberFormat="1"/>
    <xf numFmtId="0" fontId="2" fillId="0" borderId="1" xfId="0" applyFont="1" applyBorder="1"/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2" fillId="0" borderId="3" xfId="0" applyFont="1" applyBorder="1"/>
    <xf numFmtId="0" fontId="0" fillId="0" borderId="3" xfId="0" applyBorder="1"/>
    <xf numFmtId="3" fontId="0" fillId="0" borderId="3" xfId="0" applyNumberFormat="1" applyBorder="1"/>
    <xf numFmtId="6" fontId="0" fillId="0" borderId="3" xfId="0" applyNumberFormat="1" applyBorder="1"/>
    <xf numFmtId="6" fontId="0" fillId="0" borderId="2" xfId="0" applyNumberFormat="1" applyBorder="1"/>
    <xf numFmtId="164" fontId="0" fillId="0" borderId="2" xfId="1" applyNumberFormat="1" applyFont="1" applyBorder="1"/>
    <xf numFmtId="6" fontId="0" fillId="0" borderId="1" xfId="0" applyNumberFormat="1" applyBorder="1"/>
    <xf numFmtId="9" fontId="0" fillId="0" borderId="1" xfId="2" applyFont="1" applyBorder="1"/>
    <xf numFmtId="3" fontId="3" fillId="0" borderId="0" xfId="0" applyNumberFormat="1" applyFont="1"/>
    <xf numFmtId="3" fontId="4" fillId="0" borderId="0" xfId="0" applyNumberFormat="1" applyFont="1"/>
    <xf numFmtId="3" fontId="0" fillId="0" borderId="2" xfId="0" applyNumberFormat="1" applyBorder="1"/>
    <xf numFmtId="3" fontId="0" fillId="0" borderId="1" xfId="0" applyNumberFormat="1" applyBorder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165" fontId="2" fillId="3" borderId="0" xfId="0" applyNumberFormat="1" applyFont="1" applyFill="1"/>
    <xf numFmtId="166" fontId="2" fillId="3" borderId="0" xfId="0" applyNumberFormat="1" applyFont="1" applyFill="1"/>
    <xf numFmtId="1" fontId="0" fillId="4" borderId="0" xfId="0" applyNumberFormat="1" applyFill="1" applyAlignment="1">
      <alignment horizontal="center"/>
    </xf>
    <xf numFmtId="0" fontId="0" fillId="4" borderId="0" xfId="0" applyFill="1"/>
    <xf numFmtId="165" fontId="0" fillId="4" borderId="0" xfId="0" applyNumberFormat="1" applyFill="1"/>
    <xf numFmtId="166" fontId="0" fillId="4" borderId="0" xfId="0" applyNumberFormat="1" applyFill="1"/>
    <xf numFmtId="1" fontId="0" fillId="5" borderId="0" xfId="0" applyNumberFormat="1" applyFill="1" applyAlignment="1">
      <alignment horizontal="center"/>
    </xf>
    <xf numFmtId="0" fontId="0" fillId="5" borderId="0" xfId="0" applyFill="1"/>
    <xf numFmtId="165" fontId="0" fillId="5" borderId="0" xfId="0" applyNumberFormat="1" applyFill="1"/>
    <xf numFmtId="166" fontId="0" fillId="5" borderId="0" xfId="0" applyNumberFormat="1" applyFill="1"/>
    <xf numFmtId="1" fontId="2" fillId="3" borderId="0" xfId="0" applyNumberFormat="1" applyFont="1" applyFill="1" applyAlignment="1">
      <alignment horizontal="center"/>
    </xf>
    <xf numFmtId="0" fontId="10" fillId="3" borderId="0" xfId="0" applyFont="1" applyFill="1"/>
    <xf numFmtId="167" fontId="0" fillId="0" borderId="0" xfId="0" applyNumberFormat="1"/>
    <xf numFmtId="168" fontId="0" fillId="0" borderId="0" xfId="0" applyNumberFormat="1"/>
    <xf numFmtId="9" fontId="0" fillId="0" borderId="0" xfId="0" applyNumberFormat="1"/>
    <xf numFmtId="3" fontId="0" fillId="0" borderId="0" xfId="0" applyNumberForma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yan Jiang" id="{790426B1-08DC-41CB-AC80-F9A8109A0799}" userId="6de2408519f2ebe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6" dT="2026-04-15T21:35:47.42" personId="{790426B1-08DC-41CB-AC80-F9A8109A0799}" id="{64261330-17E0-4295-B7B5-4A5829725415}">
    <text>Type 10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3F2A014-80C3-4A0D-94F2-555147EBC414}">
  <we:reference id="wa200009404" version="1.0.0.5" store="en-US" storeType="OMEX"/>
  <we:alternateReferences>
    <we:reference id="WA200009404" version="1.0.0.5" store="" storeType="OMEX"/>
  </we:alternateReferences>
  <we:properties>
    <we:property name="claude.fileId" value="&quot;cf8336dc-6d9b-49f7-8094-748d5a711f25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B7893-440F-4C2E-A80F-94A15A1FD4CA}">
  <dimension ref="A1:S7"/>
  <sheetViews>
    <sheetView tabSelected="1" workbookViewId="0">
      <selection activeCell="E1" sqref="E1"/>
    </sheetView>
  </sheetViews>
  <sheetFormatPr defaultRowHeight="14.6" x14ac:dyDescent="0.4"/>
  <cols>
    <col min="1" max="1" width="25" bestFit="1" customWidth="1"/>
    <col min="2" max="2" width="37.23046875" bestFit="1" customWidth="1"/>
    <col min="3" max="3" width="23.23046875" bestFit="1" customWidth="1"/>
    <col min="4" max="4" width="15.61328125" bestFit="1" customWidth="1"/>
    <col min="5" max="5" width="13.3828125" bestFit="1" customWidth="1"/>
    <col min="6" max="6" width="15.84375" bestFit="1" customWidth="1"/>
  </cols>
  <sheetData>
    <row r="1" spans="1:19" x14ac:dyDescent="0.4">
      <c r="A1" s="1" t="s">
        <v>0</v>
      </c>
      <c r="B1" s="1" t="s">
        <v>4</v>
      </c>
      <c r="C1" s="1" t="s">
        <v>70</v>
      </c>
      <c r="D1" s="1" t="s">
        <v>53</v>
      </c>
      <c r="E1" s="1" t="s">
        <v>54</v>
      </c>
      <c r="F1" s="1" t="s">
        <v>55</v>
      </c>
      <c r="G1" s="1"/>
      <c r="J1" s="1"/>
      <c r="N1" s="1"/>
      <c r="O1" s="1"/>
      <c r="P1" s="1"/>
      <c r="Q1" s="1"/>
      <c r="R1" s="1"/>
      <c r="S1" s="1"/>
    </row>
    <row r="2" spans="1:19" x14ac:dyDescent="0.4">
      <c r="A2" t="s">
        <v>1</v>
      </c>
      <c r="B2" t="s">
        <v>21</v>
      </c>
      <c r="C2" s="35">
        <f>'Messy data'!H3/'Messy data'!E3*'Inflation Index'!C20</f>
        <v>35627157.685261838</v>
      </c>
      <c r="D2" s="36">
        <f>'Messy data'!K3*'Inflation Index'!C20</f>
        <v>20648323.317899268</v>
      </c>
      <c r="E2" s="35">
        <f>'Messy data'!M4*'Inflation Index'!C20</f>
        <v>20045480.799275342</v>
      </c>
      <c r="F2" s="37" t="s">
        <v>71</v>
      </c>
    </row>
    <row r="3" spans="1:19" x14ac:dyDescent="0.4">
      <c r="A3" t="s">
        <v>3</v>
      </c>
      <c r="B3" t="s">
        <v>42</v>
      </c>
      <c r="C3" s="35">
        <f>'Messy data'!H6/'Messy data'!E6*'Inflation Index'!C16</f>
        <v>358970786.21979988</v>
      </c>
      <c r="D3" s="36">
        <f>'Messy data'!K6*'Inflation Index'!C16</f>
        <v>21790041.951865751</v>
      </c>
      <c r="E3" s="35">
        <f>'Messy data'!M6*'Inflation Index'!C16</f>
        <v>10005397.718375912</v>
      </c>
      <c r="F3" s="37" t="s">
        <v>71</v>
      </c>
    </row>
    <row r="4" spans="1:19" x14ac:dyDescent="0.4">
      <c r="A4" t="s">
        <v>32</v>
      </c>
      <c r="B4" t="s">
        <v>56</v>
      </c>
      <c r="C4" s="35">
        <f>'Messy data'!H7/'Messy data'!E7*'Inflation Index'!C20</f>
        <v>122868317.42125943</v>
      </c>
      <c r="D4" s="36">
        <f>'Messy data'!K7*'Inflation Index'!C20</f>
        <v>28296842.30241207</v>
      </c>
      <c r="E4" s="35">
        <f>'Messy data'!M7*'Inflation Index'!C20</f>
        <v>1825595.0483476783</v>
      </c>
      <c r="F4" s="37" t="s">
        <v>71</v>
      </c>
    </row>
    <row r="5" spans="1:19" x14ac:dyDescent="0.4">
      <c r="A5" t="s">
        <v>2</v>
      </c>
      <c r="B5" t="s">
        <v>57</v>
      </c>
      <c r="C5" s="35">
        <f>0*'Inflation Index'!C20</f>
        <v>0</v>
      </c>
      <c r="D5" s="36">
        <f>D7</f>
        <v>445097.36932012299</v>
      </c>
      <c r="E5" s="35">
        <f>'Messy data'!M8*'Inflation Index'!C20</f>
        <v>1825595.0483476783</v>
      </c>
      <c r="F5" s="37" t="s">
        <v>71</v>
      </c>
    </row>
    <row r="6" spans="1:19" x14ac:dyDescent="0.4">
      <c r="A6" t="s">
        <v>8</v>
      </c>
      <c r="B6" t="s">
        <v>47</v>
      </c>
      <c r="C6" s="35">
        <f>'Messy data'!H9/'Messy data'!E9*'Inflation Index'!C12</f>
        <v>7399780.8898013979</v>
      </c>
      <c r="D6" s="36">
        <f>'Messy data'!K9*'Inflation Index'!C12</f>
        <v>33927083.333333328</v>
      </c>
      <c r="E6" s="35">
        <f>'Messy data'!M9*'Inflation Index'!C12</f>
        <v>97173952.083333328</v>
      </c>
      <c r="F6" s="37" t="s">
        <v>71</v>
      </c>
    </row>
    <row r="7" spans="1:19" x14ac:dyDescent="0.4">
      <c r="A7" t="s">
        <v>49</v>
      </c>
      <c r="B7" t="s">
        <v>50</v>
      </c>
      <c r="C7" s="35">
        <f>0*'Inflation Index'!C18</f>
        <v>0</v>
      </c>
      <c r="D7" s="36">
        <f>'Messy data'!K10*'Inflation Index'!C18</f>
        <v>445097.36932012299</v>
      </c>
      <c r="E7" s="35">
        <f>'Messy data'!M10*'Inflation Index'!C18</f>
        <v>1715479.4442546407</v>
      </c>
      <c r="F7" s="37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topLeftCell="G1" workbookViewId="0">
      <selection activeCell="M4" sqref="M4"/>
    </sheetView>
  </sheetViews>
  <sheetFormatPr defaultRowHeight="14.6" x14ac:dyDescent="0.4"/>
  <cols>
    <col min="1" max="1" width="25" style="5" bestFit="1" customWidth="1"/>
    <col min="2" max="2" width="37" style="7" bestFit="1" customWidth="1"/>
    <col min="3" max="3" width="12.765625" style="9" bestFit="1" customWidth="1"/>
    <col min="4" max="4" width="12.765625" customWidth="1"/>
    <col min="5" max="5" width="12.4609375" customWidth="1"/>
    <col min="6" max="6" width="23.23046875" style="5" bestFit="1" customWidth="1"/>
    <col min="7" max="7" width="12.3828125" bestFit="1" customWidth="1"/>
    <col min="8" max="8" width="27.69140625" style="9" bestFit="1" customWidth="1"/>
    <col min="9" max="9" width="10.61328125" bestFit="1" customWidth="1"/>
    <col min="10" max="10" width="23.15234375" style="5" bestFit="1" customWidth="1"/>
    <col min="11" max="11" width="16.765625" style="7" bestFit="1" customWidth="1"/>
    <col min="12" max="12" width="16.765625" style="7" customWidth="1"/>
    <col min="13" max="13" width="11.3828125" style="7" customWidth="1"/>
    <col min="14" max="14" width="17.69140625" style="7" bestFit="1" customWidth="1"/>
    <col min="15" max="15" width="23" bestFit="1" customWidth="1"/>
    <col min="16" max="16" width="41.69140625" style="5" bestFit="1" customWidth="1"/>
    <col min="18" max="18" width="10.84375" bestFit="1" customWidth="1"/>
    <col min="19" max="19" width="10.84375" customWidth="1"/>
    <col min="20" max="21" width="12.07421875" bestFit="1" customWidth="1"/>
  </cols>
  <sheetData>
    <row r="1" spans="1:21" s="1" customFormat="1" x14ac:dyDescent="0.4">
      <c r="A1" s="4" t="s">
        <v>0</v>
      </c>
      <c r="B1" s="6" t="s">
        <v>4</v>
      </c>
      <c r="C1" s="8" t="s">
        <v>10</v>
      </c>
      <c r="D1" s="1" t="s">
        <v>66</v>
      </c>
      <c r="E1" s="1" t="s">
        <v>65</v>
      </c>
      <c r="F1" s="4" t="s">
        <v>12</v>
      </c>
      <c r="G1" s="1" t="s">
        <v>30</v>
      </c>
      <c r="H1" s="8" t="s">
        <v>48</v>
      </c>
      <c r="I1" s="1" t="s">
        <v>14</v>
      </c>
      <c r="J1" s="4" t="s">
        <v>16</v>
      </c>
      <c r="K1" s="6" t="s">
        <v>28</v>
      </c>
      <c r="L1" s="6" t="s">
        <v>36</v>
      </c>
      <c r="M1" s="6" t="s">
        <v>27</v>
      </c>
      <c r="N1" s="6" t="s">
        <v>18</v>
      </c>
      <c r="O1" s="1" t="s">
        <v>29</v>
      </c>
      <c r="P1" s="4" t="s">
        <v>31</v>
      </c>
      <c r="R1" s="1" t="s">
        <v>12</v>
      </c>
      <c r="S1" s="1" t="s">
        <v>7</v>
      </c>
      <c r="T1" s="1" t="s">
        <v>22</v>
      </c>
      <c r="U1" s="1" t="s">
        <v>20</v>
      </c>
    </row>
    <row r="2" spans="1:21" x14ac:dyDescent="0.4">
      <c r="A2" s="5" t="s">
        <v>1</v>
      </c>
      <c r="B2" s="7" t="s">
        <v>11</v>
      </c>
      <c r="C2" s="9">
        <v>2150</v>
      </c>
      <c r="D2" t="s">
        <v>67</v>
      </c>
      <c r="E2">
        <f>C2*0.0003048</f>
        <v>0.65532000000000001</v>
      </c>
      <c r="F2" s="5" t="s">
        <v>13</v>
      </c>
      <c r="I2" t="s">
        <v>15</v>
      </c>
      <c r="J2" s="5" t="s">
        <v>17</v>
      </c>
      <c r="K2" s="12">
        <v>60000000</v>
      </c>
      <c r="M2" s="7" t="s">
        <v>26</v>
      </c>
      <c r="N2" s="13">
        <f>(140+50+130+130)*1000000</f>
        <v>450000000</v>
      </c>
      <c r="R2" t="s">
        <v>19</v>
      </c>
      <c r="T2" t="s">
        <v>23</v>
      </c>
      <c r="U2">
        <v>2021</v>
      </c>
    </row>
    <row r="3" spans="1:21" x14ac:dyDescent="0.4">
      <c r="B3" s="7" t="s">
        <v>21</v>
      </c>
      <c r="C3" s="10">
        <v>24816</v>
      </c>
      <c r="D3" s="3" t="s">
        <v>67</v>
      </c>
      <c r="E3">
        <f>C3*0.0003048</f>
        <v>7.5639167999999994</v>
      </c>
      <c r="F3" s="5" t="s">
        <v>34</v>
      </c>
      <c r="G3" s="2">
        <v>853750886</v>
      </c>
      <c r="H3" s="11">
        <v>259552179</v>
      </c>
      <c r="K3" s="12">
        <f>159100498/8</f>
        <v>19887562.25</v>
      </c>
      <c r="L3" s="12">
        <v>26605209</v>
      </c>
      <c r="M3" s="12" t="s">
        <v>72</v>
      </c>
      <c r="N3" s="14">
        <f>102233446+51009299</f>
        <v>153242745</v>
      </c>
      <c r="O3" s="2">
        <v>178948221</v>
      </c>
      <c r="P3" s="15">
        <f>O3/G3</f>
        <v>0.2096023839441146</v>
      </c>
      <c r="R3" t="s">
        <v>25</v>
      </c>
      <c r="T3" t="s">
        <v>24</v>
      </c>
      <c r="U3">
        <v>2024</v>
      </c>
    </row>
    <row r="4" spans="1:21" x14ac:dyDescent="0.4">
      <c r="B4" s="7" t="s">
        <v>73</v>
      </c>
      <c r="C4" s="10" t="s">
        <v>38</v>
      </c>
      <c r="D4" s="10" t="s">
        <v>38</v>
      </c>
      <c r="E4" s="10" t="s">
        <v>38</v>
      </c>
      <c r="F4" s="10" t="s">
        <v>38</v>
      </c>
      <c r="G4" s="10" t="s">
        <v>38</v>
      </c>
      <c r="H4" s="10" t="s">
        <v>38</v>
      </c>
      <c r="I4" s="10" t="s">
        <v>38</v>
      </c>
      <c r="J4" s="10" t="s">
        <v>38</v>
      </c>
      <c r="K4" s="10" t="s">
        <v>38</v>
      </c>
      <c r="L4" s="10" t="s">
        <v>38</v>
      </c>
      <c r="M4" s="12">
        <f>1300000000/404*6</f>
        <v>19306930.693069309</v>
      </c>
      <c r="N4" s="10" t="s">
        <v>38</v>
      </c>
      <c r="O4" s="10" t="s">
        <v>38</v>
      </c>
      <c r="P4" s="10" t="s">
        <v>38</v>
      </c>
      <c r="R4" s="38" t="s">
        <v>74</v>
      </c>
    </row>
    <row r="5" spans="1:21" x14ac:dyDescent="0.4">
      <c r="A5" s="5" t="s">
        <v>9</v>
      </c>
      <c r="B5" s="7" t="s">
        <v>42</v>
      </c>
    </row>
    <row r="6" spans="1:21" x14ac:dyDescent="0.4">
      <c r="A6" s="5" t="s">
        <v>3</v>
      </c>
      <c r="B6" s="7" t="s">
        <v>5</v>
      </c>
      <c r="C6" s="9">
        <v>7.6</v>
      </c>
      <c r="D6" t="s">
        <v>68</v>
      </c>
      <c r="E6">
        <f>C6</f>
        <v>7.6</v>
      </c>
      <c r="F6" s="5" t="s">
        <v>45</v>
      </c>
      <c r="G6" s="16">
        <v>2289000000</v>
      </c>
      <c r="H6" s="9">
        <f>G6-K6*7</f>
        <v>2167800000</v>
      </c>
      <c r="K6" s="7">
        <f>121200000/7</f>
        <v>17314285.714285713</v>
      </c>
      <c r="M6" s="17">
        <f>810925658/102</f>
        <v>7950251.5490196077</v>
      </c>
      <c r="N6" s="7">
        <v>0</v>
      </c>
      <c r="O6">
        <v>212990000</v>
      </c>
      <c r="R6" t="s">
        <v>43</v>
      </c>
      <c r="T6" t="s">
        <v>44</v>
      </c>
      <c r="U6">
        <v>2020</v>
      </c>
    </row>
    <row r="7" spans="1:21" x14ac:dyDescent="0.4">
      <c r="A7" s="5" t="s">
        <v>32</v>
      </c>
      <c r="B7" s="7" t="s">
        <v>33</v>
      </c>
      <c r="C7" s="3">
        <v>5808</v>
      </c>
      <c r="D7" s="3" t="s">
        <v>67</v>
      </c>
      <c r="E7">
        <f>C7*0.0003048</f>
        <v>1.7702783999999998</v>
      </c>
      <c r="F7" s="5" t="s">
        <v>34</v>
      </c>
      <c r="G7" s="12">
        <v>618809781</v>
      </c>
      <c r="H7" s="2">
        <v>209497209</v>
      </c>
      <c r="K7" s="12">
        <f>81762844/3</f>
        <v>27254281.333333332</v>
      </c>
      <c r="L7" s="2">
        <v>41600000</v>
      </c>
      <c r="M7" s="7">
        <f>42200000/24</f>
        <v>1758333.3333333333</v>
      </c>
      <c r="N7" s="12">
        <f>9600000+42827833</f>
        <v>52427833</v>
      </c>
      <c r="O7">
        <v>150200000</v>
      </c>
      <c r="P7" s="15">
        <f>O7/G7</f>
        <v>0.2427240237820352</v>
      </c>
      <c r="T7" t="s">
        <v>35</v>
      </c>
      <c r="U7">
        <v>2024</v>
      </c>
    </row>
    <row r="8" spans="1:21" x14ac:dyDescent="0.4">
      <c r="A8" s="5" t="s">
        <v>2</v>
      </c>
      <c r="B8" s="7" t="s">
        <v>6</v>
      </c>
      <c r="C8" s="9" t="s">
        <v>38</v>
      </c>
      <c r="D8" t="s">
        <v>38</v>
      </c>
      <c r="E8" t="s">
        <v>38</v>
      </c>
      <c r="F8" s="5" t="s">
        <v>37</v>
      </c>
      <c r="G8" t="s">
        <v>38</v>
      </c>
      <c r="H8" s="9" t="s">
        <v>39</v>
      </c>
      <c r="I8" t="s">
        <v>38</v>
      </c>
      <c r="J8" s="5" t="s">
        <v>38</v>
      </c>
      <c r="K8" s="7" t="s">
        <v>40</v>
      </c>
      <c r="L8" s="7" t="s">
        <v>38</v>
      </c>
      <c r="M8" s="7">
        <f>M7</f>
        <v>1758333.3333333333</v>
      </c>
      <c r="N8" s="7" t="s">
        <v>26</v>
      </c>
      <c r="O8" t="s">
        <v>26</v>
      </c>
      <c r="P8" s="5" t="s">
        <v>26</v>
      </c>
      <c r="R8" t="s">
        <v>41</v>
      </c>
    </row>
    <row r="9" spans="1:21" x14ac:dyDescent="0.4">
      <c r="A9" s="5" t="s">
        <v>8</v>
      </c>
      <c r="B9" s="7" t="s">
        <v>47</v>
      </c>
      <c r="C9" s="9">
        <v>36.1</v>
      </c>
      <c r="D9" t="s">
        <v>69</v>
      </c>
      <c r="E9">
        <f>C9*1.60934</f>
        <v>58.097174000000003</v>
      </c>
      <c r="F9" s="5" t="s">
        <v>46</v>
      </c>
      <c r="H9" s="10">
        <f>466787000-6*K9</f>
        <v>316787000</v>
      </c>
      <c r="K9" s="7">
        <v>25000000</v>
      </c>
      <c r="L9" s="18">
        <v>21490000</v>
      </c>
      <c r="M9" s="18">
        <v>71605000</v>
      </c>
      <c r="N9" s="18">
        <f>205573000+41472000</f>
        <v>247045000</v>
      </c>
      <c r="P9" s="19">
        <v>127825000</v>
      </c>
      <c r="R9" t="s">
        <v>51</v>
      </c>
      <c r="U9">
        <v>2016</v>
      </c>
    </row>
    <row r="10" spans="1:21" x14ac:dyDescent="0.4">
      <c r="A10" s="5" t="s">
        <v>49</v>
      </c>
      <c r="B10" s="7" t="s">
        <v>50</v>
      </c>
      <c r="H10" s="10"/>
      <c r="K10" s="7">
        <v>400000</v>
      </c>
      <c r="L10" s="18"/>
      <c r="M10" s="18">
        <f>185000000/120</f>
        <v>1541666.6666666667</v>
      </c>
      <c r="N10" s="18"/>
      <c r="P10" s="19"/>
      <c r="R10" t="s">
        <v>52</v>
      </c>
      <c r="U10">
        <v>2022</v>
      </c>
    </row>
    <row r="11" spans="1:21" s="1" customFormat="1" x14ac:dyDescent="0.4">
      <c r="A11" s="5"/>
      <c r="B11" s="6"/>
      <c r="C11" s="8"/>
      <c r="F11" s="4"/>
      <c r="H11" s="8"/>
      <c r="J11" s="4"/>
      <c r="K11" s="6"/>
      <c r="L11" s="6"/>
      <c r="M11" s="6"/>
      <c r="N11" s="6"/>
      <c r="P11" s="4"/>
    </row>
    <row r="12" spans="1:21" x14ac:dyDescent="0.4">
      <c r="A12" s="4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44DA4-9934-4953-A076-94A9D75D969E}">
  <dimension ref="A1:D22"/>
  <sheetViews>
    <sheetView workbookViewId="0">
      <selection activeCell="C20" sqref="C20"/>
    </sheetView>
  </sheetViews>
  <sheetFormatPr defaultRowHeight="14.6" x14ac:dyDescent="0.4"/>
  <cols>
    <col min="1" max="1" width="71.4609375" bestFit="1" customWidth="1"/>
    <col min="2" max="2" width="15.53515625" bestFit="1" customWidth="1"/>
    <col min="3" max="3" width="23" bestFit="1" customWidth="1"/>
    <col min="4" max="4" width="27.3828125" bestFit="1" customWidth="1"/>
  </cols>
  <sheetData>
    <row r="1" spans="1:4" ht="18.45" x14ac:dyDescent="0.5">
      <c r="A1" s="20" t="s">
        <v>58</v>
      </c>
    </row>
    <row r="2" spans="1:4" x14ac:dyDescent="0.4">
      <c r="A2" s="21" t="s">
        <v>59</v>
      </c>
    </row>
    <row r="3" spans="1:4" x14ac:dyDescent="0.4">
      <c r="A3" s="21" t="s">
        <v>60</v>
      </c>
    </row>
    <row r="5" spans="1:4" x14ac:dyDescent="0.4">
      <c r="A5" s="22" t="s">
        <v>61</v>
      </c>
      <c r="B5" s="22" t="s">
        <v>62</v>
      </c>
      <c r="C5" s="22" t="s">
        <v>63</v>
      </c>
      <c r="D5" s="22" t="s">
        <v>64</v>
      </c>
    </row>
    <row r="6" spans="1:4" x14ac:dyDescent="0.4">
      <c r="A6" s="25">
        <v>2010</v>
      </c>
      <c r="B6" s="26">
        <v>218.1</v>
      </c>
      <c r="C6" s="27">
        <f>$B$22/B6</f>
        <v>1.4933516735442458</v>
      </c>
      <c r="D6" s="28">
        <f>C6-1</f>
        <v>0.49335167354424581</v>
      </c>
    </row>
    <row r="7" spans="1:4" x14ac:dyDescent="0.4">
      <c r="A7" s="29">
        <v>2011</v>
      </c>
      <c r="B7" s="30">
        <v>224.9</v>
      </c>
      <c r="C7" s="31">
        <f t="shared" ref="C7:C21" si="0">$B$22/B7</f>
        <v>1.4481991996442862</v>
      </c>
      <c r="D7" s="32">
        <f t="shared" ref="D7:D21" si="1">C7-1</f>
        <v>0.44819919964428623</v>
      </c>
    </row>
    <row r="8" spans="1:4" x14ac:dyDescent="0.4">
      <c r="A8" s="25">
        <v>2012</v>
      </c>
      <c r="B8" s="26">
        <v>229.6</v>
      </c>
      <c r="C8" s="27">
        <f t="shared" si="0"/>
        <v>1.4185540069686411</v>
      </c>
      <c r="D8" s="28">
        <f t="shared" si="1"/>
        <v>0.41855400696864109</v>
      </c>
    </row>
    <row r="9" spans="1:4" x14ac:dyDescent="0.4">
      <c r="A9" s="29">
        <v>2013</v>
      </c>
      <c r="B9" s="30">
        <v>233</v>
      </c>
      <c r="C9" s="31">
        <f t="shared" si="0"/>
        <v>1.3978540772532189</v>
      </c>
      <c r="D9" s="32">
        <f t="shared" si="1"/>
        <v>0.39785407725321886</v>
      </c>
    </row>
    <row r="10" spans="1:4" x14ac:dyDescent="0.4">
      <c r="A10" s="25">
        <v>2014</v>
      </c>
      <c r="B10" s="26">
        <v>236.7</v>
      </c>
      <c r="C10" s="27">
        <f t="shared" si="0"/>
        <v>1.3760033798056612</v>
      </c>
      <c r="D10" s="28">
        <f t="shared" si="1"/>
        <v>0.37600337980566123</v>
      </c>
    </row>
    <row r="11" spans="1:4" x14ac:dyDescent="0.4">
      <c r="A11" s="29">
        <v>2015</v>
      </c>
      <c r="B11" s="30">
        <v>237</v>
      </c>
      <c r="C11" s="31">
        <f t="shared" si="0"/>
        <v>1.3742616033755273</v>
      </c>
      <c r="D11" s="32">
        <f t="shared" si="1"/>
        <v>0.37426160337552727</v>
      </c>
    </row>
    <row r="12" spans="1:4" x14ac:dyDescent="0.4">
      <c r="A12" s="25">
        <v>2016</v>
      </c>
      <c r="B12" s="26">
        <v>240</v>
      </c>
      <c r="C12" s="27">
        <f t="shared" si="0"/>
        <v>1.3570833333333332</v>
      </c>
      <c r="D12" s="28">
        <f t="shared" si="1"/>
        <v>0.3570833333333332</v>
      </c>
    </row>
    <row r="13" spans="1:4" x14ac:dyDescent="0.4">
      <c r="A13" s="29">
        <v>2017</v>
      </c>
      <c r="B13" s="30">
        <v>245.1</v>
      </c>
      <c r="C13" s="31">
        <f t="shared" si="0"/>
        <v>1.3288453692370461</v>
      </c>
      <c r="D13" s="32">
        <f t="shared" si="1"/>
        <v>0.3288453692370461</v>
      </c>
    </row>
    <row r="14" spans="1:4" x14ac:dyDescent="0.4">
      <c r="A14" s="25">
        <v>2018</v>
      </c>
      <c r="B14" s="26">
        <v>251.1</v>
      </c>
      <c r="C14" s="27">
        <f t="shared" si="0"/>
        <v>1.2970927917164476</v>
      </c>
      <c r="D14" s="28">
        <f t="shared" si="1"/>
        <v>0.29709279171644765</v>
      </c>
    </row>
    <row r="15" spans="1:4" x14ac:dyDescent="0.4">
      <c r="A15" s="29">
        <v>2019</v>
      </c>
      <c r="B15" s="30">
        <v>255.7</v>
      </c>
      <c r="C15" s="31">
        <f t="shared" si="0"/>
        <v>1.2737583105201409</v>
      </c>
      <c r="D15" s="32">
        <f t="shared" si="1"/>
        <v>0.27375831052014088</v>
      </c>
    </row>
    <row r="16" spans="1:4" x14ac:dyDescent="0.4">
      <c r="A16" s="25">
        <v>2020</v>
      </c>
      <c r="B16" s="26">
        <v>258.8</v>
      </c>
      <c r="C16" s="27">
        <f t="shared" si="0"/>
        <v>1.258500772797527</v>
      </c>
      <c r="D16" s="28">
        <f t="shared" si="1"/>
        <v>0.25850077279752703</v>
      </c>
    </row>
    <row r="17" spans="1:4" x14ac:dyDescent="0.4">
      <c r="A17" s="29">
        <v>2021</v>
      </c>
      <c r="B17" s="30">
        <v>271</v>
      </c>
      <c r="C17" s="31">
        <f t="shared" si="0"/>
        <v>1.2018450184501845</v>
      </c>
      <c r="D17" s="32">
        <f t="shared" si="1"/>
        <v>0.20184501845018454</v>
      </c>
    </row>
    <row r="18" spans="1:4" x14ac:dyDescent="0.4">
      <c r="A18" s="25">
        <v>2022</v>
      </c>
      <c r="B18" s="26">
        <v>292.7</v>
      </c>
      <c r="C18" s="27">
        <f t="shared" si="0"/>
        <v>1.1127434233003075</v>
      </c>
      <c r="D18" s="28">
        <f t="shared" si="1"/>
        <v>0.11274342330030751</v>
      </c>
    </row>
    <row r="19" spans="1:4" x14ac:dyDescent="0.4">
      <c r="A19" s="29">
        <v>2023</v>
      </c>
      <c r="B19" s="30">
        <v>304.7</v>
      </c>
      <c r="C19" s="31">
        <f t="shared" si="0"/>
        <v>1.0689202494256647</v>
      </c>
      <c r="D19" s="32">
        <f t="shared" si="1"/>
        <v>6.8920249425664659E-2</v>
      </c>
    </row>
    <row r="20" spans="1:4" x14ac:dyDescent="0.4">
      <c r="A20" s="25">
        <v>2024</v>
      </c>
      <c r="B20" s="26">
        <v>313.7</v>
      </c>
      <c r="C20" s="27">
        <f t="shared" si="0"/>
        <v>1.0382531080650304</v>
      </c>
      <c r="D20" s="28">
        <f t="shared" si="1"/>
        <v>3.825310806503035E-2</v>
      </c>
    </row>
    <row r="21" spans="1:4" x14ac:dyDescent="0.4">
      <c r="A21" s="29">
        <v>2025</v>
      </c>
      <c r="B21" s="30">
        <v>321.89999999999998</v>
      </c>
      <c r="C21" s="31">
        <f t="shared" si="0"/>
        <v>1.0118049083566325</v>
      </c>
      <c r="D21" s="32">
        <f t="shared" si="1"/>
        <v>1.1804908356632504E-2</v>
      </c>
    </row>
    <row r="22" spans="1:4" x14ac:dyDescent="0.4">
      <c r="A22" s="33">
        <v>2026</v>
      </c>
      <c r="B22" s="34">
        <v>325.7</v>
      </c>
      <c r="C22" s="23">
        <f>$B$22/B22</f>
        <v>1</v>
      </c>
      <c r="D22" s="24">
        <f>C22-1</f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Messy data</vt:lpstr>
      <vt:lpstr>Inflation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Jiang</dc:creator>
  <cp:lastModifiedBy>Ryan Jiang</cp:lastModifiedBy>
  <dcterms:created xsi:type="dcterms:W3CDTF">2015-06-05T18:17:20Z</dcterms:created>
  <dcterms:modified xsi:type="dcterms:W3CDTF">2026-04-16T20:06:41Z</dcterms:modified>
</cp:coreProperties>
</file>